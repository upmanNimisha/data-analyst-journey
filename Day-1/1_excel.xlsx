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240" yWindow="120" windowWidth="20115" windowHeight="7755" activeTab="1"/>
  </bookViews>
  <sheets>
    <sheet name="Sheet1" sheetId="1" r:id="rId1"/>
    <sheet name="Sheet2" sheetId="2" r:id="rId2"/>
    <sheet name="Sheet3" sheetId="3" r:id="rId3"/>
  </sheets>
  <definedNames>
    <definedName name="_xlnm._FilterDatabase" localSheetId="1" hidden="1">Sheet2!$O$1:$R$17</definedName>
  </definedNames>
  <calcPr calcId="144525"/>
</workbook>
</file>

<file path=xl/calcChain.xml><?xml version="1.0" encoding="utf-8"?>
<calcChain xmlns="http://schemas.openxmlformats.org/spreadsheetml/2006/main">
  <c r="R16" i="2" l="1"/>
  <c r="R15" i="2"/>
  <c r="R14" i="2"/>
  <c r="R13" i="2"/>
  <c r="R12" i="2"/>
  <c r="R11" i="2"/>
  <c r="R10" i="2"/>
  <c r="R9" i="2"/>
  <c r="R8" i="2"/>
  <c r="R7" i="2"/>
  <c r="R6" i="2"/>
  <c r="R5" i="2"/>
  <c r="R17" i="2" s="1"/>
  <c r="R4" i="2"/>
  <c r="R3" i="2"/>
  <c r="R2" i="2"/>
  <c r="K2" i="2"/>
  <c r="K11" i="2"/>
  <c r="K7" i="2"/>
  <c r="K3" i="2"/>
  <c r="K16" i="2"/>
  <c r="K4" i="2"/>
  <c r="K10" i="2"/>
  <c r="K6" i="2"/>
  <c r="K14" i="2"/>
  <c r="K9" i="2"/>
  <c r="K5" i="2"/>
  <c r="K13" i="2"/>
  <c r="K8" i="2"/>
  <c r="K12" i="2"/>
  <c r="K15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2" i="2"/>
  <c r="C10" i="1"/>
  <c r="C9" i="1"/>
  <c r="C8" i="1"/>
  <c r="C7" i="1"/>
  <c r="D17" i="2" l="1"/>
  <c r="K17" i="2"/>
</calcChain>
</file>

<file path=xl/sharedStrings.xml><?xml version="1.0" encoding="utf-8"?>
<sst xmlns="http://schemas.openxmlformats.org/spreadsheetml/2006/main" count="75" uniqueCount="27">
  <si>
    <t>Name</t>
  </si>
  <si>
    <t>Age</t>
  </si>
  <si>
    <t>Salary</t>
  </si>
  <si>
    <t>A</t>
  </si>
  <si>
    <t>B</t>
  </si>
  <si>
    <t>C</t>
  </si>
  <si>
    <t>D</t>
  </si>
  <si>
    <t>E</t>
  </si>
  <si>
    <t>Total Salary</t>
  </si>
  <si>
    <t>Average Salary</t>
  </si>
  <si>
    <t>Count</t>
  </si>
  <si>
    <t>Max Salary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</si>
  <si>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</si>
  <si>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</si>
  <si>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</si>
  <si>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</si>
  <si>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</si>
  <si>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</si>
  <si>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</si>
  <si>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</si>
  <si>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</si>
  <si>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</si>
  <si>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Category</t>
  </si>
  <si>
    <t>no of senior</t>
  </si>
  <si>
    <t>Above table is sorted by salary largest to smallest</t>
  </si>
  <si>
    <t>added Filter</t>
  </si>
  <si>
    <t>To find No of senior out of Category I used Count if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</si>
</sst>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0" fillId="0" borderId="1" xfId="0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1" fillId="0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vertical="center" wrapText="1"/>
    </xf>
    <xf numFmtId="0" fontId="0" fillId="0" borderId="1" xfId="0" applyBorder="1" applyAlignment="1"/>
    <xf numFmtId="0" fontId="1" fillId="0" borderId="1" xfId="0" applyFont="1" applyFill="1" applyBorder="1" applyAlignment="1">
      <alignment vertical="center"/>
    </xf>
    <xf numFmtId="0" fontId="0" fillId="0" borderId="1" xfId="0" applyBorder="1" applyAlignment="1">
      <alignment horizontal="center"/>
    </xf>
    <xf numFmtId="0" fontId="0" fillId="0" borderId="0" xfId="0" applyAlignment="1"/>
    <xf numFmtId="0" fontId="0" fillId="0" borderId="0" xfId="0" applyFill="1" applyBorder="1" applyAlignment="1">
      <alignment vertical="center" wrapText="1"/>
    </xf>
    <xf numFmtId="0" fontId="0" fillId="0" borderId="2" xfId="0" applyFill="1" applyBorder="1" applyAlignment="1">
      <alignment vertical="center" wrapText="1"/>
    </xf>
    <xf numFmtId="0" fontId="0" fillId="0" borderId="0" xfId="0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0"/>
  <sheetViews>
    <sheetView workbookViewId="0">
      <selection activeCell="A7" sqref="A7:C10"/>
    </sheetView>
  </sheetViews>
  <sheetFormatPr defaultRowHeight="15" x14ac:dyDescent="0.25"/>
  <cols>
    <col min="1" max="1" width="17.5703125" customWidth="1"/>
  </cols>
  <sheetData>
    <row r="1" spans="1:3" x14ac:dyDescent="0.25">
      <c r="A1" s="1" t="s">
        <v>0</v>
      </c>
      <c r="B1" s="1" t="s">
        <v>1</v>
      </c>
      <c r="C1" s="1" t="s">
        <v>2</v>
      </c>
    </row>
    <row r="2" spans="1:3" x14ac:dyDescent="0.25">
      <c r="A2" s="4" t="s">
        <v>3</v>
      </c>
      <c r="B2" s="4">
        <v>22</v>
      </c>
      <c r="C2" s="4">
        <v>20000</v>
      </c>
    </row>
    <row r="3" spans="1:3" x14ac:dyDescent="0.25">
      <c r="A3" s="4" t="s">
        <v>4</v>
      </c>
      <c r="B3" s="4">
        <v>25</v>
      </c>
      <c r="C3" s="4">
        <v>30000</v>
      </c>
    </row>
    <row r="4" spans="1:3" x14ac:dyDescent="0.25">
      <c r="A4" s="4" t="s">
        <v>5</v>
      </c>
      <c r="B4" s="4">
        <v>28</v>
      </c>
      <c r="C4" s="4">
        <v>40000</v>
      </c>
    </row>
    <row r="5" spans="1:3" x14ac:dyDescent="0.25">
      <c r="A5" s="4" t="s">
        <v>6</v>
      </c>
      <c r="B5" s="4">
        <v>24</v>
      </c>
      <c r="C5" s="4">
        <v>25000</v>
      </c>
    </row>
    <row r="6" spans="1:3" x14ac:dyDescent="0.25">
      <c r="A6" s="4" t="s">
        <v>7</v>
      </c>
      <c r="B6" s="4">
        <v>30</v>
      </c>
      <c r="C6" s="4">
        <v>50000</v>
      </c>
    </row>
    <row r="7" spans="1:3" x14ac:dyDescent="0.25">
      <c r="A7" s="5" t="s">
        <v>8</v>
      </c>
      <c r="B7" s="11"/>
      <c r="C7" s="11">
        <f>SUM(C2:C6)</f>
        <v>165000</v>
      </c>
    </row>
    <row r="8" spans="1:3" x14ac:dyDescent="0.25">
      <c r="A8" s="7" t="s">
        <v>9</v>
      </c>
      <c r="B8" s="11"/>
      <c r="C8" s="11">
        <f>AVERAGE(C2:C6)</f>
        <v>33000</v>
      </c>
    </row>
    <row r="9" spans="1:3" x14ac:dyDescent="0.25">
      <c r="A9" s="5" t="s">
        <v>10</v>
      </c>
      <c r="B9" s="11"/>
      <c r="C9" s="11">
        <f>COUNT(C2:C6)</f>
        <v>5</v>
      </c>
    </row>
    <row r="10" spans="1:3" x14ac:dyDescent="0.25">
      <c r="A10" s="5" t="s">
        <v>11</v>
      </c>
      <c r="B10" s="11"/>
      <c r="C10" s="11">
        <f>MAX(C2:C6)</f>
        <v>50000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0"/>
  <sheetViews>
    <sheetView tabSelected="1" workbookViewId="0">
      <selection activeCell="H24" sqref="H24"/>
    </sheetView>
  </sheetViews>
  <sheetFormatPr defaultRowHeight="15" x14ac:dyDescent="0.25"/>
  <cols>
    <col min="1" max="1" width="12" customWidth="1"/>
  </cols>
  <sheetData>
    <row r="1" spans="1:18" x14ac:dyDescent="0.25">
      <c r="A1" s="3" t="s">
        <v>0</v>
      </c>
      <c r="B1" s="3" t="s">
        <v>1</v>
      </c>
      <c r="C1" s="3" t="s">
        <v>2</v>
      </c>
      <c r="D1" s="8" t="s">
        <v>22</v>
      </c>
      <c r="H1" s="3" t="s">
        <v>0</v>
      </c>
      <c r="I1" s="3" t="s">
        <v>1</v>
      </c>
      <c r="J1" s="3" t="s">
        <v>2</v>
      </c>
      <c r="K1" s="8" t="s">
        <v>22</v>
      </c>
      <c r="O1" s="3" t="s">
        <v>0</v>
      </c>
      <c r="P1" s="3" t="s">
        <v>1</v>
      </c>
      <c r="Q1" s="3" t="s">
        <v>2</v>
      </c>
      <c r="R1" s="8" t="s">
        <v>22</v>
      </c>
    </row>
    <row r="2" spans="1:18" x14ac:dyDescent="0.25">
      <c r="A2" s="2" t="s">
        <v>3</v>
      </c>
      <c r="B2" s="2">
        <v>22</v>
      </c>
      <c r="C2" s="2">
        <v>20000</v>
      </c>
      <c r="D2" s="6" t="str">
        <f>IF(B2&gt;25,"Senior","Junior")</f>
        <v>Junior</v>
      </c>
      <c r="H2" s="2" t="s">
        <v>21</v>
      </c>
      <c r="I2" s="2">
        <v>34</v>
      </c>
      <c r="J2" s="2">
        <v>65000</v>
      </c>
      <c r="K2" s="6" t="str">
        <f>IF(I2&gt;25,"Senior","Junior")</f>
        <v>Senior</v>
      </c>
      <c r="O2" s="2" t="s">
        <v>21</v>
      </c>
      <c r="P2" s="2">
        <v>34</v>
      </c>
      <c r="Q2" s="2">
        <v>65000</v>
      </c>
      <c r="R2" s="6" t="str">
        <f>IF(P2&gt;25,"Senior","Junior")</f>
        <v>Senior</v>
      </c>
    </row>
    <row r="3" spans="1:18" x14ac:dyDescent="0.25">
      <c r="A3" s="2" t="s">
        <v>4</v>
      </c>
      <c r="B3" s="2">
        <v>25</v>
      </c>
      <c r="C3" s="2">
        <v>30000</v>
      </c>
      <c r="D3" s="6" t="str">
        <f t="shared" ref="D3:D16" si="0">IF(B3&gt;25,"Senior","Junior")</f>
        <v>Junior</v>
      </c>
      <c r="H3" s="2" t="s">
        <v>18</v>
      </c>
      <c r="I3" s="2">
        <v>33</v>
      </c>
      <c r="J3" s="2">
        <v>60000</v>
      </c>
      <c r="K3" s="6" t="str">
        <f>IF(I3&gt;25,"Senior","Junior")</f>
        <v>Senior</v>
      </c>
      <c r="O3" s="2" t="s">
        <v>18</v>
      </c>
      <c r="P3" s="2">
        <v>33</v>
      </c>
      <c r="Q3" s="2">
        <v>60000</v>
      </c>
      <c r="R3" s="6" t="str">
        <f>IF(P3&gt;25,"Senior","Junior")</f>
        <v>Senior</v>
      </c>
    </row>
    <row r="4" spans="1:18" x14ac:dyDescent="0.25">
      <c r="A4" s="2" t="s">
        <v>5</v>
      </c>
      <c r="B4" s="2">
        <v>28</v>
      </c>
      <c r="C4" s="2">
        <v>40000</v>
      </c>
      <c r="D4" s="6" t="str">
        <f t="shared" si="0"/>
        <v>Senior</v>
      </c>
      <c r="H4" s="2" t="s">
        <v>16</v>
      </c>
      <c r="I4" s="2">
        <v>31</v>
      </c>
      <c r="J4" s="2">
        <v>55000</v>
      </c>
      <c r="K4" s="6" t="str">
        <f>IF(I4&gt;25,"Senior","Junior")</f>
        <v>Senior</v>
      </c>
      <c r="O4" s="2" t="s">
        <v>16</v>
      </c>
      <c r="P4" s="2">
        <v>31</v>
      </c>
      <c r="Q4" s="2">
        <v>55000</v>
      </c>
      <c r="R4" s="6" t="str">
        <f>IF(P4&gt;25,"Senior","Junior")</f>
        <v>Senior</v>
      </c>
    </row>
    <row r="5" spans="1:18" x14ac:dyDescent="0.25">
      <c r="A5" s="2" t="s">
        <v>6</v>
      </c>
      <c r="B5" s="2">
        <v>24</v>
      </c>
      <c r="C5" s="2">
        <v>25000</v>
      </c>
      <c r="D5" s="6" t="str">
        <f t="shared" si="0"/>
        <v>Junior</v>
      </c>
      <c r="H5" s="2" t="s">
        <v>7</v>
      </c>
      <c r="I5" s="2">
        <v>30</v>
      </c>
      <c r="J5" s="2">
        <v>50000</v>
      </c>
      <c r="K5" s="6" t="str">
        <f>IF(I5&gt;25,"Senior","Junior")</f>
        <v>Senior</v>
      </c>
      <c r="O5" s="2" t="s">
        <v>7</v>
      </c>
      <c r="P5" s="2">
        <v>30</v>
      </c>
      <c r="Q5" s="2">
        <v>50000</v>
      </c>
      <c r="R5" s="6" t="str">
        <f>IF(P5&gt;25,"Senior","Junior")</f>
        <v>Senior</v>
      </c>
    </row>
    <row r="6" spans="1:18" x14ac:dyDescent="0.25">
      <c r="A6" s="2" t="s">
        <v>7</v>
      </c>
      <c r="B6" s="2">
        <v>30</v>
      </c>
      <c r="C6" s="2">
        <v>50000</v>
      </c>
      <c r="D6" s="6" t="str">
        <f t="shared" si="0"/>
        <v>Senior</v>
      </c>
      <c r="H6" s="2" t="s">
        <v>14</v>
      </c>
      <c r="I6" s="2">
        <v>29</v>
      </c>
      <c r="J6" s="2">
        <v>45000</v>
      </c>
      <c r="K6" s="6" t="str">
        <f>IF(I6&gt;25,"Senior","Junior")</f>
        <v>Senior</v>
      </c>
      <c r="O6" s="2" t="s">
        <v>14</v>
      </c>
      <c r="P6" s="2">
        <v>29</v>
      </c>
      <c r="Q6" s="2">
        <v>45000</v>
      </c>
      <c r="R6" s="6" t="str">
        <f>IF(P6&gt;25,"Senior","Junior")</f>
        <v>Senior</v>
      </c>
    </row>
    <row r="7" spans="1:18" x14ac:dyDescent="0.25">
      <c r="A7" s="2" t="s">
        <v>12</v>
      </c>
      <c r="B7" s="2">
        <v>27</v>
      </c>
      <c r="C7" s="2">
        <v>35000</v>
      </c>
      <c r="D7" s="6" t="str">
        <f t="shared" si="0"/>
        <v>Senior</v>
      </c>
      <c r="H7" s="2" t="s">
        <v>19</v>
      </c>
      <c r="I7" s="2">
        <v>28</v>
      </c>
      <c r="J7" s="2">
        <v>42000</v>
      </c>
      <c r="K7" s="6" t="str">
        <f>IF(I7&gt;25,"Senior","Junior")</f>
        <v>Senior</v>
      </c>
      <c r="O7" s="2" t="s">
        <v>19</v>
      </c>
      <c r="P7" s="2">
        <v>28</v>
      </c>
      <c r="Q7" s="2">
        <v>42000</v>
      </c>
      <c r="R7" s="6" t="str">
        <f>IF(P7&gt;25,"Senior","Junior")</f>
        <v>Senior</v>
      </c>
    </row>
    <row r="8" spans="1:18" x14ac:dyDescent="0.25">
      <c r="A8" s="2" t="s">
        <v>13</v>
      </c>
      <c r="B8" s="2">
        <v>23</v>
      </c>
      <c r="C8" s="2">
        <v>22000</v>
      </c>
      <c r="D8" s="6" t="str">
        <f t="shared" si="0"/>
        <v>Junior</v>
      </c>
      <c r="H8" s="2" t="s">
        <v>5</v>
      </c>
      <c r="I8" s="2">
        <v>28</v>
      </c>
      <c r="J8" s="2">
        <v>40000</v>
      </c>
      <c r="K8" s="6" t="str">
        <f>IF(I8&gt;25,"Senior","Junior")</f>
        <v>Senior</v>
      </c>
      <c r="O8" s="2" t="s">
        <v>5</v>
      </c>
      <c r="P8" s="2">
        <v>28</v>
      </c>
      <c r="Q8" s="2">
        <v>40000</v>
      </c>
      <c r="R8" s="6" t="str">
        <f>IF(P8&gt;25,"Senior","Junior")</f>
        <v>Senior</v>
      </c>
    </row>
    <row r="9" spans="1:18" x14ac:dyDescent="0.25">
      <c r="A9" s="2" t="s">
        <v>14</v>
      </c>
      <c r="B9" s="2">
        <v>29</v>
      </c>
      <c r="C9" s="2">
        <v>45000</v>
      </c>
      <c r="D9" s="6" t="str">
        <f t="shared" si="0"/>
        <v>Senior</v>
      </c>
      <c r="H9" s="2" t="s">
        <v>12</v>
      </c>
      <c r="I9" s="2">
        <v>27</v>
      </c>
      <c r="J9" s="2">
        <v>35000</v>
      </c>
      <c r="K9" s="6" t="str">
        <f>IF(I9&gt;25,"Senior","Junior")</f>
        <v>Senior</v>
      </c>
      <c r="O9" s="2" t="s">
        <v>12</v>
      </c>
      <c r="P9" s="2">
        <v>27</v>
      </c>
      <c r="Q9" s="2">
        <v>35000</v>
      </c>
      <c r="R9" s="6" t="str">
        <f>IF(P9&gt;25,"Senior","Junior")</f>
        <v>Senior</v>
      </c>
    </row>
    <row r="10" spans="1:18" x14ac:dyDescent="0.25">
      <c r="A10" s="2" t="s">
        <v>15</v>
      </c>
      <c r="B10" s="2">
        <v>26</v>
      </c>
      <c r="C10" s="2">
        <v>32000</v>
      </c>
      <c r="D10" s="6" t="str">
        <f t="shared" si="0"/>
        <v>Senior</v>
      </c>
      <c r="H10" s="2" t="s">
        <v>15</v>
      </c>
      <c r="I10" s="2">
        <v>26</v>
      </c>
      <c r="J10" s="2">
        <v>32000</v>
      </c>
      <c r="K10" s="6" t="str">
        <f>IF(I10&gt;25,"Senior","Junior")</f>
        <v>Senior</v>
      </c>
      <c r="O10" s="2" t="s">
        <v>15</v>
      </c>
      <c r="P10" s="2">
        <v>26</v>
      </c>
      <c r="Q10" s="2">
        <v>32000</v>
      </c>
      <c r="R10" s="6" t="str">
        <f>IF(P10&gt;25,"Senior","Junior")</f>
        <v>Senior</v>
      </c>
    </row>
    <row r="11" spans="1:18" x14ac:dyDescent="0.25">
      <c r="A11" s="2" t="s">
        <v>16</v>
      </c>
      <c r="B11" s="2">
        <v>31</v>
      </c>
      <c r="C11" s="2">
        <v>55000</v>
      </c>
      <c r="D11" s="6" t="str">
        <f t="shared" si="0"/>
        <v>Senior</v>
      </c>
      <c r="H11" s="2" t="s">
        <v>20</v>
      </c>
      <c r="I11" s="2">
        <v>26</v>
      </c>
      <c r="J11" s="2">
        <v>31000</v>
      </c>
      <c r="K11" s="6" t="str">
        <f>IF(I11&gt;25,"Senior","Junior")</f>
        <v>Senior</v>
      </c>
      <c r="O11" s="2" t="s">
        <v>20</v>
      </c>
      <c r="P11" s="2">
        <v>26</v>
      </c>
      <c r="Q11" s="2">
        <v>31000</v>
      </c>
      <c r="R11" s="6" t="str">
        <f>IF(P11&gt;25,"Senior","Junior")</f>
        <v>Senior</v>
      </c>
    </row>
    <row r="12" spans="1:18" x14ac:dyDescent="0.25">
      <c r="A12" s="2" t="s">
        <v>17</v>
      </c>
      <c r="B12" s="2">
        <v>21</v>
      </c>
      <c r="C12" s="2">
        <v>18000</v>
      </c>
      <c r="D12" s="6" t="str">
        <f t="shared" si="0"/>
        <v>Junior</v>
      </c>
      <c r="H12" s="2" t="s">
        <v>4</v>
      </c>
      <c r="I12" s="2">
        <v>25</v>
      </c>
      <c r="J12" s="2">
        <v>30000</v>
      </c>
      <c r="K12" s="6" t="str">
        <f>IF(I12&gt;25,"Senior","Junior")</f>
        <v>Junior</v>
      </c>
      <c r="O12" s="2" t="s">
        <v>4</v>
      </c>
      <c r="P12" s="2">
        <v>25</v>
      </c>
      <c r="Q12" s="2">
        <v>30000</v>
      </c>
      <c r="R12" s="6" t="str">
        <f>IF(P12&gt;25,"Senior","Junior")</f>
        <v>Junior</v>
      </c>
    </row>
    <row r="13" spans="1:18" x14ac:dyDescent="0.25">
      <c r="A13" s="2" t="s">
        <v>18</v>
      </c>
      <c r="B13" s="2">
        <v>33</v>
      </c>
      <c r="C13" s="2">
        <v>60000</v>
      </c>
      <c r="D13" s="6" t="str">
        <f t="shared" si="0"/>
        <v>Senior</v>
      </c>
      <c r="H13" s="2" t="s">
        <v>6</v>
      </c>
      <c r="I13" s="2">
        <v>24</v>
      </c>
      <c r="J13" s="2">
        <v>25000</v>
      </c>
      <c r="K13" s="6" t="str">
        <f>IF(I13&gt;25,"Senior","Junior")</f>
        <v>Junior</v>
      </c>
      <c r="O13" s="2" t="s">
        <v>6</v>
      </c>
      <c r="P13" s="2">
        <v>24</v>
      </c>
      <c r="Q13" s="2">
        <v>25000</v>
      </c>
      <c r="R13" s="6" t="str">
        <f>IF(P13&gt;25,"Senior","Junior")</f>
        <v>Junior</v>
      </c>
    </row>
    <row r="14" spans="1:18" x14ac:dyDescent="0.25">
      <c r="A14" s="2" t="s">
        <v>19</v>
      </c>
      <c r="B14" s="2">
        <v>28</v>
      </c>
      <c r="C14" s="2">
        <v>42000</v>
      </c>
      <c r="D14" s="6" t="str">
        <f t="shared" si="0"/>
        <v>Senior</v>
      </c>
      <c r="H14" s="2" t="s">
        <v>13</v>
      </c>
      <c r="I14" s="2">
        <v>23</v>
      </c>
      <c r="J14" s="2">
        <v>22000</v>
      </c>
      <c r="K14" s="6" t="str">
        <f>IF(I14&gt;25,"Senior","Junior")</f>
        <v>Junior</v>
      </c>
      <c r="O14" s="2" t="s">
        <v>13</v>
      </c>
      <c r="P14" s="2">
        <v>23</v>
      </c>
      <c r="Q14" s="2">
        <v>22000</v>
      </c>
      <c r="R14" s="6" t="str">
        <f>IF(P14&gt;25,"Senior","Junior")</f>
        <v>Junior</v>
      </c>
    </row>
    <row r="15" spans="1:18" x14ac:dyDescent="0.25">
      <c r="A15" s="2" t="s">
        <v>20</v>
      </c>
      <c r="B15" s="2">
        <v>26</v>
      </c>
      <c r="C15" s="2">
        <v>31000</v>
      </c>
      <c r="D15" s="6" t="str">
        <f t="shared" si="0"/>
        <v>Senior</v>
      </c>
      <c r="H15" s="2" t="s">
        <v>3</v>
      </c>
      <c r="I15" s="2">
        <v>22</v>
      </c>
      <c r="J15" s="2">
        <v>20000</v>
      </c>
      <c r="K15" s="6" t="str">
        <f>IF(I15&gt;25,"Senior","Junior")</f>
        <v>Junior</v>
      </c>
      <c r="O15" s="2" t="s">
        <v>3</v>
      </c>
      <c r="P15" s="2">
        <v>22</v>
      </c>
      <c r="Q15" s="2">
        <v>20000</v>
      </c>
      <c r="R15" s="6" t="str">
        <f>IF(P15&gt;25,"Senior","Junior")</f>
        <v>Junior</v>
      </c>
    </row>
    <row r="16" spans="1:18" x14ac:dyDescent="0.25">
      <c r="A16" s="2" t="s">
        <v>21</v>
      </c>
      <c r="B16" s="2">
        <v>34</v>
      </c>
      <c r="C16" s="2">
        <v>65000</v>
      </c>
      <c r="D16" s="6" t="str">
        <f t="shared" si="0"/>
        <v>Senior</v>
      </c>
      <c r="H16" s="2" t="s">
        <v>17</v>
      </c>
      <c r="I16" s="2">
        <v>21</v>
      </c>
      <c r="J16" s="2">
        <v>18000</v>
      </c>
      <c r="K16" s="6" t="str">
        <f>IF(I16&gt;25,"Senior","Junior")</f>
        <v>Junior</v>
      </c>
      <c r="O16" s="2" t="s">
        <v>17</v>
      </c>
      <c r="P16" s="2">
        <v>21</v>
      </c>
      <c r="Q16" s="2">
        <v>18000</v>
      </c>
      <c r="R16" s="6" t="str">
        <f>IF(P16&gt;25,"Senior","Junior")</f>
        <v>Junior</v>
      </c>
    </row>
    <row r="17" spans="1:18" x14ac:dyDescent="0.25">
      <c r="A17" s="10" t="s">
        <v>23</v>
      </c>
      <c r="B17" s="9"/>
      <c r="C17" s="9"/>
      <c r="D17" s="11">
        <f>COUNTIF(D2:D16,"Senior")</f>
        <v>10</v>
      </c>
      <c r="H17" s="10" t="s">
        <v>23</v>
      </c>
      <c r="I17" s="9"/>
      <c r="J17" s="9"/>
      <c r="K17" s="11">
        <f>COUNTIF(K2:K16,"Senior")</f>
        <v>10</v>
      </c>
      <c r="O17" s="10" t="s">
        <v>23</v>
      </c>
      <c r="P17" s="9"/>
      <c r="Q17" s="9"/>
      <c r="R17" s="11">
        <f>COUNTIF(R2:R16,"Senior")</f>
        <v>10</v>
      </c>
    </row>
    <row r="18" spans="1:18" x14ac:dyDescent="0.25">
      <c r="B18" s="14"/>
    </row>
    <row r="19" spans="1:18" x14ac:dyDescent="0.25">
      <c r="B19" s="13"/>
      <c r="G19" s="16" t="s">
        <v>24</v>
      </c>
      <c r="H19" s="6"/>
      <c r="I19" s="6"/>
      <c r="J19" s="6"/>
      <c r="K19" s="6"/>
      <c r="O19" s="15" t="s">
        <v>25</v>
      </c>
      <c r="R19" s="12"/>
    </row>
    <row r="20" spans="1:18" x14ac:dyDescent="0.25">
      <c r="A20" t="s">
        <v>26</v>
      </c>
      <c r="R20" s="12"/>
    </row>
  </sheetData>
  <autoFilter ref="O1:R17"/>
  <sortState ref="H2:K17">
    <sortCondition descending="1" ref="J2:J17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Nimisha Upman</dc:creator>
  <cp:lastModifiedBy>Nimisha Upman</cp:lastModifiedBy>
  <dcterms:created xsi:type="dcterms:W3CDTF">2026-04-16T15:51:46Z</dcterms:created>
  <dcterms:modified xsi:type="dcterms:W3CDTF">2026-04-16T16:33:01Z</dcterms:modified>
</cp:coreProperties>
</file>